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ryan_ward2_ucalgary_ca/Documents/"/>
    </mc:Choice>
  </mc:AlternateContent>
  <xr:revisionPtr revIDLastSave="0" documentId="8_{3368065D-C6BA-4873-B57C-237267DD6FB6}" xr6:coauthVersionLast="47" xr6:coauthVersionMax="47" xr10:uidLastSave="{00000000-0000-0000-0000-000000000000}"/>
  <bookViews>
    <workbookView xWindow="1520" yWindow="1150" windowWidth="16890" windowHeight="9650" xr2:uid="{B1C86A6A-F066-4F07-9218-CBE7716410E0}"/>
  </bookViews>
  <sheets>
    <sheet name="Sheet1" sheetId="1" r:id="rId1"/>
  </sheets>
  <externalReferences>
    <externalReference r:id="rId2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H3" i="1"/>
</calcChain>
</file>

<file path=xl/sharedStrings.xml><?xml version="1.0" encoding="utf-8"?>
<sst xmlns="http://schemas.openxmlformats.org/spreadsheetml/2006/main" count="19" uniqueCount="10">
  <si>
    <t>motor (park ___)</t>
  </si>
  <si>
    <t xml:space="preserve">battery (mAh) </t>
  </si>
  <si>
    <t xml:space="preserve">prop </t>
  </si>
  <si>
    <t xml:space="preserve">esc </t>
  </si>
  <si>
    <t xml:space="preserve">measured g static  </t>
  </si>
  <si>
    <t xml:space="preserve">Corrected g thrust </t>
  </si>
  <si>
    <t>6x4</t>
  </si>
  <si>
    <t>6x3</t>
  </si>
  <si>
    <t>4.5x3.5</t>
  </si>
  <si>
    <t>Leverage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</si>
</sst>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Fill="1" applyBorder="1"/>
    <xf numFmtId="0" fontId="0" fillId="0" borderId="1" xfId="0" applyFill="1" applyBorder="1"/>
    <xf numFmtId="1" fontId="2" fillId="0" borderId="1" xfId="0" applyNumberFormat="1" applyFont="1" applyFill="1" applyBorder="1"/>
    <xf numFmtId="0" fontId="0" fillId="0" borderId="3" xfId="0" applyFill="1" applyBorder="1"/>
    <xf numFmtId="1" fontId="2" fillId="0" borderId="3" xfId="0" applyNumberFormat="1" applyFont="1" applyFill="1" applyBorder="1"/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ofc-my.sharepoint.com/personal/ryan_ward2_ucalgary_ca/Documents/410signout.xlsx" TargetMode="External"/><Relationship Id="rId1" Type="http://schemas.openxmlformats.org/officeDocument/2006/relationships/externalLinkPath" Target="410sign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c Test Results"/>
      <sheetName val="Thrust Calc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964CA-F9FF-478A-B80B-0A805834C4F0}" name="Table1" displayName="Table1" ref="A1:F13" totalsRowShown="0" headerRowDxfId="1" dataDxfId="0" headerRowBorderDxfId="9" tableBorderDxfId="10" totalsRowBorderDxfId="8">
  <autoFilter ref="A1:F13" xr:uid="{881964CA-F9FF-478A-B80B-0A805834C4F0}"/>
  <tableColumns count="6">
    <tableColumn id="1" xr3:uid="{6C13F42D-AE24-4AA4-9A45-250EE694F05A}" name="motor (park ___)" dataDxfId="7"/>
    <tableColumn id="2" xr3:uid="{3AD54E22-FAF8-4BF8-BF97-8B2AB07C46C5}" name="battery (mAh) " dataDxfId="6"/>
    <tableColumn id="3" xr3:uid="{868FF16B-6EC2-4EC7-A44E-BE4CB53A2D41}" name="prop " dataDxfId="5"/>
    <tableColumn id="4" xr3:uid="{2AD8B726-D124-407D-884B-48E803472736}" name="esc " dataDxfId="4"/>
    <tableColumn id="5" xr3:uid="{05CF4393-A48A-4D0F-8239-A8CBCD101B10}" name="measured g static  " dataDxfId="3"/>
    <tableColumn id="6" xr3:uid="{AB6D0D42-33E0-46CF-86B7-CB456021299D}" name="Corrected g thrust " dataDxfId="2">
      <calculatedColumnFormula>[1]!Table13[[#This Row],[measured g static  ]]/$H$3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8FD0-8D85-428F-B321-43CBD8DEE129}">
  <dimension ref="A1:H13"/>
  <sheetViews>
    <sheetView tabSelected="1" workbookViewId="0">
      <selection activeCell="H9" sqref="H9"/>
    </sheetView>
  </sheetViews>
  <sheetFormatPr defaultRowHeight="14.5" x14ac:dyDescent="0.35"/>
  <cols>
    <col min="1" max="1" width="15.90625" customWidth="1"/>
    <col min="2" max="2" width="14.54296875" customWidth="1"/>
    <col min="5" max="5" width="18.26953125" customWidth="1"/>
    <col min="6" max="6" width="18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2">
        <v>250</v>
      </c>
      <c r="B2" s="2">
        <v>450</v>
      </c>
      <c r="C2" s="2" t="s">
        <v>6</v>
      </c>
      <c r="D2" s="2">
        <v>20</v>
      </c>
      <c r="E2" s="2">
        <v>260</v>
      </c>
      <c r="F2" s="3">
        <f>[1]!Table13[[#This Row],[measured g static  ]]/$H$3</f>
        <v>177.89473684210526</v>
      </c>
      <c r="H2" t="s">
        <v>9</v>
      </c>
    </row>
    <row r="3" spans="1:8" x14ac:dyDescent="0.35">
      <c r="A3" s="2">
        <v>250</v>
      </c>
      <c r="B3" s="2">
        <v>450</v>
      </c>
      <c r="C3" s="2" t="s">
        <v>7</v>
      </c>
      <c r="D3" s="2">
        <v>30</v>
      </c>
      <c r="E3" s="2">
        <v>250</v>
      </c>
      <c r="F3" s="3">
        <f>[1]!Table13[[#This Row],[measured g static  ]]/$H$3</f>
        <v>171.05263157894737</v>
      </c>
      <c r="H3">
        <f>9.5/6.5</f>
        <v>1.4615384615384615</v>
      </c>
    </row>
    <row r="4" spans="1:8" x14ac:dyDescent="0.35">
      <c r="A4" s="2">
        <v>250</v>
      </c>
      <c r="B4" s="2">
        <v>450</v>
      </c>
      <c r="C4" s="2" t="s">
        <v>7</v>
      </c>
      <c r="D4" s="2">
        <v>20</v>
      </c>
      <c r="E4" s="2">
        <v>240</v>
      </c>
      <c r="F4" s="3">
        <f>[1]!Table13[[#This Row],[measured g static  ]]/$H$3</f>
        <v>164.21052631578948</v>
      </c>
    </row>
    <row r="5" spans="1:8" x14ac:dyDescent="0.35">
      <c r="A5" s="2">
        <v>250</v>
      </c>
      <c r="B5" s="2">
        <v>450</v>
      </c>
      <c r="C5" s="2" t="s">
        <v>6</v>
      </c>
      <c r="D5" s="2">
        <v>30</v>
      </c>
      <c r="E5" s="2">
        <v>240</v>
      </c>
      <c r="F5" s="3">
        <f>[1]!Table13[[#This Row],[measured g static  ]]/$H$3</f>
        <v>164.21052631578948</v>
      </c>
    </row>
    <row r="6" spans="1:8" x14ac:dyDescent="0.35">
      <c r="A6" s="2">
        <v>250</v>
      </c>
      <c r="B6" s="2">
        <v>450</v>
      </c>
      <c r="C6" s="2" t="s">
        <v>8</v>
      </c>
      <c r="D6" s="2">
        <v>20</v>
      </c>
      <c r="E6" s="2">
        <v>157</v>
      </c>
      <c r="F6" s="3">
        <f>[1]!Table13[[#This Row],[measured g static  ]]/$H$3</f>
        <v>107.42105263157896</v>
      </c>
    </row>
    <row r="7" spans="1:8" x14ac:dyDescent="0.35">
      <c r="A7" s="2">
        <v>250</v>
      </c>
      <c r="B7" s="2">
        <v>280</v>
      </c>
      <c r="C7" s="2" t="s">
        <v>6</v>
      </c>
      <c r="D7" s="2">
        <v>20</v>
      </c>
      <c r="E7" s="2">
        <v>155</v>
      </c>
      <c r="F7" s="3">
        <f>[1]!Table13[[#This Row],[measured g static  ]]/$H$3</f>
        <v>106.05263157894737</v>
      </c>
    </row>
    <row r="8" spans="1:8" x14ac:dyDescent="0.35">
      <c r="A8" s="2">
        <v>250</v>
      </c>
      <c r="B8" s="2">
        <v>280</v>
      </c>
      <c r="C8" s="2" t="s">
        <v>7</v>
      </c>
      <c r="D8" s="2">
        <v>20</v>
      </c>
      <c r="E8" s="2">
        <v>147</v>
      </c>
      <c r="F8" s="3">
        <f>[1]!Table13[[#This Row],[measured g static  ]]/$H$3</f>
        <v>100.57894736842105</v>
      </c>
    </row>
    <row r="9" spans="1:8" x14ac:dyDescent="0.35">
      <c r="A9" s="2">
        <v>125</v>
      </c>
      <c r="B9" s="2">
        <v>450</v>
      </c>
      <c r="C9" s="2" t="s">
        <v>7</v>
      </c>
      <c r="D9" s="2">
        <v>20</v>
      </c>
      <c r="E9" s="2">
        <v>145</v>
      </c>
      <c r="F9" s="3">
        <f>[1]!Table13[[#This Row],[measured g static  ]]/$H$3</f>
        <v>99.21052631578948</v>
      </c>
    </row>
    <row r="10" spans="1:8" x14ac:dyDescent="0.35">
      <c r="A10" s="2">
        <v>125</v>
      </c>
      <c r="B10" s="2">
        <v>280</v>
      </c>
      <c r="C10" s="2" t="s">
        <v>7</v>
      </c>
      <c r="D10" s="2">
        <v>20</v>
      </c>
      <c r="E10" s="2">
        <v>130</v>
      </c>
      <c r="F10" s="3">
        <f>[1]!Table13[[#This Row],[measured g static  ]]/$H$3</f>
        <v>88.94736842105263</v>
      </c>
    </row>
    <row r="11" spans="1:8" x14ac:dyDescent="0.35">
      <c r="A11" s="2">
        <v>125</v>
      </c>
      <c r="B11" s="2">
        <v>450</v>
      </c>
      <c r="C11" s="2" t="s">
        <v>8</v>
      </c>
      <c r="D11" s="2">
        <v>20</v>
      </c>
      <c r="E11" s="2">
        <v>102</v>
      </c>
      <c r="F11" s="3">
        <f>[1]!Table13[[#This Row],[measured g static  ]]/$H$3</f>
        <v>69.789473684210535</v>
      </c>
    </row>
    <row r="12" spans="1:8" x14ac:dyDescent="0.35">
      <c r="A12" s="2">
        <v>250</v>
      </c>
      <c r="B12" s="2">
        <v>280</v>
      </c>
      <c r="C12" s="2" t="s">
        <v>8</v>
      </c>
      <c r="D12" s="2">
        <v>20</v>
      </c>
      <c r="E12" s="2">
        <v>99</v>
      </c>
      <c r="F12" s="3">
        <f>[1]!Table13[[#This Row],[measured g static  ]]/$H$3</f>
        <v>67.736842105263165</v>
      </c>
    </row>
    <row r="13" spans="1:8" x14ac:dyDescent="0.35">
      <c r="A13" s="4">
        <v>125</v>
      </c>
      <c r="B13" s="4">
        <v>280</v>
      </c>
      <c r="C13" s="4" t="s">
        <v>8</v>
      </c>
      <c r="D13" s="4">
        <v>20</v>
      </c>
      <c r="E13" s="4">
        <v>82</v>
      </c>
      <c r="F13" s="5">
        <f>[1]!Table13[[#This Row],[measured g static  ]]/$H$3</f>
        <v>56.10526315789474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Ward</dc:creator>
  <cp:lastModifiedBy>Ryan Ward</cp:lastModifiedBy>
  <dcterms:created xsi:type="dcterms:W3CDTF">2025-09-24T20:59:58Z</dcterms:created>
  <dcterms:modified xsi:type="dcterms:W3CDTF">2025-09-24T21:08:13Z</dcterms:modified>
</cp:coreProperties>
</file>